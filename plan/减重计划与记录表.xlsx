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说明" sheetId="1" state="visible" r:id="rId1"/>
    <sheet name="01-12周计划表" sheetId="2" state="visible" r:id="rId2"/>
    <sheet name="02-体重围度记录" sheetId="3" state="visible" r:id="rId3"/>
    <sheet name="03-饮食记录" sheetId="4" state="visible" r:id="rId4"/>
    <sheet name="04-训练记录" sheetId="5" state="visible" r:id="rId5"/>
    <sheet name="05-参考值" sheetId="6" state="visible" r:id="rId6"/>
    <sheet name="06-计算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6F4A"/>
      <sz val="14"/>
    </font>
    <font>
      <color rgb="005B6B62"/>
      <sz val="9.5"/>
    </font>
    <font>
      <b val="1"/>
    </font>
    <font>
      <b val="1"/>
      <color rgb="00FFFFFF"/>
      <sz val="11"/>
    </font>
    <font>
      <b val="1"/>
      <color rgb="001F6F4A"/>
      <sz val="11.5"/>
    </font>
    <font>
      <b val="1"/>
      <color rgb="001F6F4A"/>
    </font>
  </fonts>
  <fills count="6">
    <fill>
      <patternFill/>
    </fill>
    <fill>
      <patternFill patternType="gray125"/>
    </fill>
    <fill>
      <patternFill patternType="solid">
        <fgColor rgb="00E8F3ED"/>
      </patternFill>
    </fill>
    <fill>
      <patternFill patternType="solid">
        <fgColor rgb="001F6F4A"/>
      </patternFill>
    </fill>
    <fill>
      <patternFill patternType="solid">
        <fgColor rgb="00FFF9E6"/>
      </patternFill>
    </fill>
    <fill>
      <patternFill patternType="solid">
        <fgColor rgb="00EAF3FB"/>
      </patternFill>
    </fill>
  </fills>
  <borders count="2">
    <border>
      <left/>
      <right/>
      <top/>
      <bottom/>
      <diagonal/>
    </border>
    <border>
      <left style="thin">
        <color rgb="00C9D6CE"/>
      </left>
      <right style="thin">
        <color rgb="00C9D6CE"/>
      </right>
      <top style="thin">
        <color rgb="00C9D6CE"/>
      </top>
      <bottom style="thin">
        <color rgb="00C9D6C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5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减重计划与记录表（依据 ISSN 2026 立场声明）</t>
        </is>
      </c>
    </row>
    <row r="2" ht="30" customHeight="1">
      <c r="A2" s="2" t="inlineStr">
        <is>
          <t>数据来源：Aragon AA et al. International Society of Sports Nutrition position stand: diets for body weight reduction. J Int Soc Sports Nutr. 2026;23(1):2740266. 在线发表 2026-10-13. DOI 10.1080/15502783.2026.2740266 · PMID 42867412 · CC BY</t>
        </is>
      </c>
    </row>
    <row r="5" ht="60" customHeight="1">
      <c r="A5" s="3" t="inlineStr">
        <is>
          <t>表格结构</t>
        </is>
      </c>
      <c r="B5" s="4" t="inlineStr">
        <is>
          <t>① 01-12周计划表：逐周目标与任务　② 02-体重围度记录：每周固定时间填一次　③ 03-饮食记录：每日一行，算总热量与蛋白　④ 04-训练记录：主要动作的重量/组数/次数　⑤ 05-参考值：论文给出的蛋白区间、饮食法要点、平台期规则　⑥ 06-计算器：填 4 个空自动出结果</t>
        </is>
      </c>
    </row>
    <row r="6" ht="44" customHeight="1">
      <c r="A6" s="3" t="inlineStr">
        <is>
          <t>核心结论（论文）</t>
        </is>
      </c>
      <c r="B6" s="4" t="inlineStr">
        <is>
          <t>决定减重质量的是三件事：总能量缺口、蛋白质摄入量、抗阻训练。生酮/低脂/轻断食之间的差别，在热量与蛋白匹配后基本消失。</t>
        </is>
      </c>
    </row>
    <row r="7" ht="44" customHeight="1">
      <c r="A7" s="3" t="inlineStr">
        <is>
          <t>关键蛋白区间</t>
        </is>
      </c>
      <c r="B7" s="4" t="inlineStr">
        <is>
          <t>一般人群 1.2–1.6 g/kg；减脂+抗阻训练 1.6–2.2 g/kg；精瘦且有训练基础者可 1.9–3.2 g/kg（按去脂体重 2.5–4.2 g/kg）。</t>
        </is>
      </c>
    </row>
    <row r="8" ht="44" customHeight="1">
      <c r="A8" s="3" t="inlineStr">
        <is>
          <t>减重速度参考</t>
        </is>
      </c>
      <c r="B8" s="4" t="inlineStr">
        <is>
          <t>每周 0.5%–1% 体重为稳妥区间。VLED（&lt;800 kcal）虽快（1.5–2.5 kg/周），但属高风险方案，需医学监督。</t>
        </is>
      </c>
    </row>
    <row r="9" ht="60" customHeight="1">
      <c r="A9" s="3" t="inlineStr">
        <is>
          <t>平台期规则</t>
        </is>
      </c>
      <c r="B9" s="4" t="inlineStr">
        <is>
          <t>平台定义：12 周内体重下降不足 5%。应对顺序：先核对摄入记录（自报普遍低报 25%–50%）→ 提高活动量与训练 → 插入 7 天饮食休息（每减 3–5 kg）或 1–3 个月维持期（每减 5–10 kg）。</t>
        </is>
      </c>
    </row>
    <row r="10" ht="60" customHeight="1">
      <c r="A10" s="3" t="inlineStr">
        <is>
          <t>怎么用这张表</t>
        </is>
      </c>
      <c r="B10" s="4" t="inlineStr">
        <is>
          <t>1) 先在「06-计算器」填入性别/体重/身高/年龄/活动量，得到目标热量与蛋白克数；2) 把结果抄到「01-12周计划表」的对应周；3) 每天在「03-饮食记录」记一行；每周固定一天在「02-体重围度记录」记一行。</t>
        </is>
      </c>
    </row>
    <row r="11" ht="44" customHeight="1">
      <c r="A11" s="3" t="inlineStr">
        <is>
          <t>黄色单元格</t>
        </is>
      </c>
      <c r="B11" s="4" t="inlineStr">
        <is>
          <t>需要你自己填写。蓝色单元格是公式自动计算，不要覆盖。</t>
        </is>
      </c>
    </row>
    <row r="12" ht="44" customHeight="1">
      <c r="A12" s="3" t="inlineStr">
        <is>
          <t>重要提醒</t>
        </is>
      </c>
      <c r="B12" s="4" t="inlineStr">
        <is>
          <t>本表是依据论文结论整理的执行模板，不是医疗建议。极低能量饮食、有慢性病、进食障碍史、孕期哺乳期人群请先咨询医生或注册营养师。</t>
        </is>
      </c>
    </row>
    <row r="13" ht="44" customHeight="1">
      <c r="A13" s="3" t="inlineStr">
        <is>
          <t>色标说明</t>
        </is>
      </c>
      <c r="B13" s="4" t="inlineStr">
        <is>
          <t>输入区=浅黄　计算区=浅蓝　表头=深绿</t>
        </is>
      </c>
    </row>
  </sheetData>
  <mergeCells count="11"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0" customWidth="1" min="4" max="4"/>
    <col width="20" customWidth="1" min="5" max="5"/>
    <col width="20" customWidth="1" min="6" max="6"/>
    <col width="46" customWidth="1" min="7" max="7"/>
    <col width="24" customWidth="1" min="8" max="8"/>
  </cols>
  <sheetData>
    <row r="1" ht="26" customHeight="1">
      <c r="A1" s="1" t="inlineStr">
        <is>
          <t>12 周减重计划表</t>
        </is>
      </c>
    </row>
    <row r="2" ht="30" customHeight="1">
      <c r="A2" s="2" t="inlineStr">
        <is>
          <t>以「A 稳妥型（缺口 20%–25%）」为模板；B 运动型把缺口调到 15%、蛋白提到 1.8–2.2 g/kg；C 激进型须医学监督，勿自行套用。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52" customHeight="1">
      <c r="A4" s="4" t="inlineStr">
        <is>
          <t>周次</t>
        </is>
      </c>
      <c r="B4" s="4" t="inlineStr">
        <is>
          <t>阶段</t>
        </is>
      </c>
      <c r="C4" s="6" t="inlineStr">
        <is>
          <t>能量（相对维持热量）</t>
        </is>
      </c>
      <c r="D4" s="6" t="inlineStr">
        <is>
          <t>蛋白目标</t>
        </is>
      </c>
      <c r="E4" s="4" t="inlineStr">
        <is>
          <t>抗阻训练</t>
        </is>
      </c>
      <c r="F4" s="4" t="inlineStr">
        <is>
          <t>有氧 / 步数</t>
        </is>
      </c>
      <c r="G4" s="4" t="inlineStr">
        <is>
          <t>本周任务与监测</t>
        </is>
      </c>
      <c r="H4" s="4" t="inlineStr">
        <is>
          <t>备注</t>
        </is>
      </c>
    </row>
    <row r="5" ht="52" customHeight="1">
      <c r="A5" s="4" t="inlineStr">
        <is>
          <t>第 0 周</t>
        </is>
      </c>
      <c r="B5" s="4" t="inlineStr">
        <is>
          <t>打底</t>
        </is>
      </c>
      <c r="C5" s="6" t="inlineStr">
        <is>
          <t>维持热量（不设缺口）</t>
        </is>
      </c>
      <c r="D5" s="6" t="inlineStr">
        <is>
          <t>1.2 g/kg</t>
        </is>
      </c>
      <c r="E5" s="4" t="inlineStr">
        <is>
          <t>2 次</t>
        </is>
      </c>
      <c r="F5" s="4" t="inlineStr">
        <is>
          <t>步数 6000–8000</t>
        </is>
      </c>
      <c r="G5" s="4" t="inlineStr">
        <is>
          <t>测基线：晨起空腹体重、腰围、臀围、正侧背照片；用 3 天饮食记录估算真实摄入</t>
        </is>
      </c>
      <c r="H5" s="4" t="inlineStr">
        <is>
          <t>论文提醒：自报摄入普遍低报 25%–50%</t>
        </is>
      </c>
    </row>
    <row r="6" ht="52" customHeight="1">
      <c r="A6" s="4" t="inlineStr">
        <is>
          <t>第 1–2 周</t>
        </is>
      </c>
      <c r="B6" s="4" t="inlineStr">
        <is>
          <t>适应</t>
        </is>
      </c>
      <c r="C6" s="6" t="inlineStr">
        <is>
          <t>−15%</t>
        </is>
      </c>
      <c r="D6" s="6" t="inlineStr">
        <is>
          <t>1.4 g/kg，分 ≥3 餐</t>
        </is>
      </c>
      <c r="E6" s="4" t="inlineStr">
        <is>
          <t>3 次（全身复合动作）</t>
        </is>
      </c>
      <c r="F6" s="4" t="inlineStr">
        <is>
          <t>有氧 2×25 分钟</t>
        </is>
      </c>
      <c r="G6" s="4" t="inlineStr">
        <is>
          <t>只改两件事：蛋白达标 + 抗阻到位；体重取 7 日均值，不看单日波动</t>
        </is>
      </c>
      <c r="H6" s="4" t="inlineStr">
        <is>
          <t>速度 0.5%–1%/周</t>
        </is>
      </c>
    </row>
    <row r="7" ht="52" customHeight="1">
      <c r="A7" s="4" t="inlineStr">
        <is>
          <t>第 3–4 周</t>
        </is>
      </c>
      <c r="B7" s="4" t="inlineStr">
        <is>
          <t>主缺口</t>
        </is>
      </c>
      <c r="C7" s="6" t="inlineStr">
        <is>
          <t>−20%</t>
        </is>
      </c>
      <c r="D7" s="6" t="inlineStr">
        <is>
          <t>1.6 g/kg</t>
        </is>
      </c>
      <c r="E7" s="4" t="inlineStr">
        <is>
          <t>3 次（渐进加重）</t>
        </is>
      </c>
      <c r="F7" s="4" t="inlineStr">
        <is>
          <t>有氧 2–3 次；步数 8000–10000</t>
        </is>
      </c>
      <c r="G7" s="4" t="inlineStr">
        <is>
          <t>查速度：过快→加 100–150 kcal 碳水；完全不动→先查摄入记录，不要先砍热量</t>
        </is>
      </c>
      <c r="H7" s="4" t="inlineStr"/>
    </row>
    <row r="8" ht="52" customHeight="1">
      <c r="A8" s="4" t="inlineStr">
        <is>
          <t>第 5–6 周</t>
        </is>
      </c>
      <c r="B8" s="4" t="inlineStr">
        <is>
          <t>加深</t>
        </is>
      </c>
      <c r="C8" s="6" t="inlineStr">
        <is>
          <t>−22%～−25%</t>
        </is>
      </c>
      <c r="D8" s="6" t="inlineStr">
        <is>
          <t>1.6–1.8 g/kg</t>
        </is>
      </c>
      <c r="E8" s="4" t="inlineStr">
        <is>
          <t>3–4 次</t>
        </is>
      </c>
      <c r="F8" s="4" t="inlineStr">
        <is>
          <t>有氧 3 次</t>
        </is>
      </c>
      <c r="G8" s="4" t="inlineStr">
        <is>
          <t>腰围比体重更重要；若力量明显下降或持续疲劳 → 缺口过大或蛋白不足</t>
        </is>
      </c>
      <c r="H8" s="4" t="inlineStr">
        <is>
          <t>注意睡眠与饥饿感</t>
        </is>
      </c>
    </row>
    <row r="9" ht="52" customHeight="1">
      <c r="A9" s="4" t="inlineStr">
        <is>
          <t>第 7 周</t>
        </is>
      </c>
      <c r="B9" s="4" t="inlineStr">
        <is>
          <t>饮食休息（diet break）</t>
        </is>
      </c>
      <c r="C9" s="6" t="inlineStr">
        <is>
          <t>回到维持热量，约 7 天</t>
        </is>
      </c>
      <c r="D9" s="6" t="inlineStr">
        <is>
          <t>保持 1.6 g/kg</t>
        </is>
      </c>
      <c r="E9" s="4" t="inlineStr">
        <is>
          <t>照常</t>
        </is>
      </c>
      <c r="F9" s="4" t="inlineStr">
        <is>
          <t>有氧减半</t>
        </is>
      </c>
      <c r="G9" s="4" t="inlineStr">
        <is>
          <t>论文推荐：每减 3–5 kg 安排一次约 7 天的有意识自由进食，缓解心理疲劳</t>
        </is>
      </c>
      <c r="H9" s="4" t="inlineStr">
        <is>
          <t>不是放纵，专注饥饱信号</t>
        </is>
      </c>
    </row>
    <row r="10" ht="52" customHeight="1">
      <c r="A10" s="4" t="inlineStr">
        <is>
          <t>第 8–10 周</t>
        </is>
      </c>
      <c r="B10" s="4" t="inlineStr">
        <is>
          <t>第二轮缺口</t>
        </is>
      </c>
      <c r="C10" s="6" t="inlineStr">
        <is>
          <t>−20%～−25%</t>
        </is>
      </c>
      <c r="D10" s="6" t="inlineStr">
        <is>
          <t>1.6–2.0（训练量大可 2.2）</t>
        </is>
      </c>
      <c r="E10" s="4" t="inlineStr">
        <is>
          <t>3–4 次</t>
        </is>
      </c>
      <c r="F10" s="4" t="inlineStr">
        <is>
          <t>有氧 2–3 次</t>
        </is>
      </c>
      <c r="G10" s="4" t="inlineStr">
        <is>
          <t>易进入平台期：用腰围/照片/衣物松紧/训练重量综合判断</t>
        </is>
      </c>
      <c r="H10" s="4" t="inlineStr">
        <is>
          <t>平台定义：12 周内&lt;5%</t>
        </is>
      </c>
    </row>
    <row r="11">
      <c r="A11" t="inlineStr">
        <is>
          <t>第 11–12 周</t>
        </is>
      </c>
      <c r="B11" t="inlineStr">
        <is>
          <t>收口 + 稳定</t>
        </is>
      </c>
      <c r="C11" t="inlineStr">
        <is>
          <t>缺口收窄至 −10%</t>
        </is>
      </c>
      <c r="D11" t="inlineStr">
        <is>
          <t>1.6 g/kg</t>
        </is>
      </c>
      <c r="E11" t="inlineStr">
        <is>
          <t>4 次，维持强度</t>
        </is>
      </c>
      <c r="F11" t="inlineStr">
        <is>
          <t>有氧 2 次</t>
        </is>
      </c>
      <c r="G11" t="inlineStr">
        <is>
          <t>进入维持期：论文建议每减 5–10 kg 安排 1–3 个月稳定期，把体重钉住再决定下一轮</t>
        </is>
      </c>
      <c r="H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5" customWidth="1" min="4" max="4"/>
    <col width="15" customWidth="1" min="5" max="5"/>
    <col width="14" customWidth="1" min="6" max="6"/>
    <col width="10" customWidth="1" min="7" max="7"/>
    <col width="10" customWidth="1" min="8" max="8"/>
    <col width="11" customWidth="1" min="9" max="9"/>
    <col width="11" customWidth="1" min="10" max="10"/>
    <col width="14" customWidth="1" min="11" max="11"/>
    <col width="30" customWidth="1" min="12" max="12"/>
  </cols>
  <sheetData>
    <row r="1" ht="26" customHeight="1">
      <c r="A1" s="1" t="inlineStr">
        <is>
          <t>体重与围度记录表</t>
        </is>
      </c>
    </row>
    <row r="2" ht="30" customHeight="1">
      <c r="A2" s="2" t="inlineStr">
        <is>
          <t>每周固定一天、同样条件（晨起空腹、排便后、同一体重秤）测一次；体重列建议填 7 日均值。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7" t="inlineStr">
        <is>
          <t>第0周(基线)</t>
        </is>
      </c>
      <c r="B4" s="8" t="inlineStr">
        <is>
          <t>日期</t>
        </is>
      </c>
      <c r="C4" s="8" t="inlineStr">
        <is>
          <t>体重 7 日均值(kg)</t>
        </is>
      </c>
      <c r="D4" s="9" t="inlineStr">
        <is>
          <t>较上周变化(kg)</t>
        </is>
      </c>
      <c r="E4" s="9" t="inlineStr">
        <is>
          <t>较起始变化(kg)</t>
        </is>
      </c>
      <c r="F4" s="9" t="inlineStr">
        <is>
          <t>周降幅(%体重)</t>
        </is>
      </c>
      <c r="G4" s="8" t="inlineStr">
        <is>
          <t>腰围(cm)</t>
        </is>
      </c>
      <c r="H4" s="8" t="inlineStr">
        <is>
          <t>臀围(cm)</t>
        </is>
      </c>
      <c r="I4" s="8" t="inlineStr">
        <is>
          <t>体脂率(%)</t>
        </is>
      </c>
      <c r="J4" s="8" t="inlineStr">
        <is>
          <t>日均步数</t>
        </is>
      </c>
      <c r="K4" s="8" t="inlineStr">
        <is>
          <t>主观饥饿感(1-5)</t>
        </is>
      </c>
      <c r="L4" s="6" t="inlineStr">
        <is>
          <t>备注（睡眠/训练/状态）</t>
        </is>
      </c>
    </row>
    <row r="5">
      <c r="A5" s="7" t="inlineStr">
        <is>
          <t>第1周</t>
        </is>
      </c>
      <c r="B5" s="8" t="n"/>
      <c r="C5" s="8" t="n"/>
      <c r="D5" s="9">
        <f>IF(OR(C5="",C4=""),"",ROUND(C5-C4,2))</f>
        <v/>
      </c>
      <c r="E5" s="9">
        <f>IF(OR(C5="",$C$4=""),"",ROUND(C5-$C$4,2))</f>
        <v/>
      </c>
      <c r="F5" s="9">
        <f>IF(OR(C5="",C4=""),"",ROUND((C4-C5)/C4*100,2))</f>
        <v/>
      </c>
      <c r="G5" s="8" t="n"/>
      <c r="H5" s="8" t="n"/>
      <c r="I5" s="8" t="n"/>
      <c r="J5" s="8" t="n"/>
      <c r="K5" s="8" t="n"/>
      <c r="L5" s="6" t="n"/>
    </row>
    <row r="6">
      <c r="A6" s="7" t="inlineStr">
        <is>
          <t>第2周</t>
        </is>
      </c>
      <c r="B6" s="8" t="n"/>
      <c r="C6" s="8" t="n"/>
      <c r="D6" s="9">
        <f>IF(OR(C6="",C5=""),"",ROUND(C6-C5,2))</f>
        <v/>
      </c>
      <c r="E6" s="9">
        <f>IF(OR(C6="",$C$4=""),"",ROUND(C6-$C$4,2))</f>
        <v/>
      </c>
      <c r="F6" s="9">
        <f>IF(OR(C6="",C5=""),"",ROUND((C5-C6)/C5*100,2))</f>
        <v/>
      </c>
      <c r="G6" s="8" t="n"/>
      <c r="H6" s="8" t="n"/>
      <c r="I6" s="8" t="n"/>
      <c r="J6" s="8" t="n"/>
      <c r="K6" s="8" t="n"/>
      <c r="L6" s="6" t="n"/>
    </row>
    <row r="7">
      <c r="A7" s="7" t="inlineStr">
        <is>
          <t>第3周</t>
        </is>
      </c>
      <c r="B7" s="8" t="n"/>
      <c r="C7" s="8" t="n"/>
      <c r="D7" s="9">
        <f>IF(OR(C7="",C6=""),"",ROUND(C7-C6,2))</f>
        <v/>
      </c>
      <c r="E7" s="9">
        <f>IF(OR(C7="",$C$4=""),"",ROUND(C7-$C$4,2))</f>
        <v/>
      </c>
      <c r="F7" s="9">
        <f>IF(OR(C7="",C6=""),"",ROUND((C6-C7)/C6*100,2))</f>
        <v/>
      </c>
      <c r="G7" s="8" t="n"/>
      <c r="H7" s="8" t="n"/>
      <c r="I7" s="8" t="n"/>
      <c r="J7" s="8" t="n"/>
      <c r="K7" s="8" t="n"/>
      <c r="L7" s="6" t="n"/>
    </row>
    <row r="8">
      <c r="A8" s="7" t="inlineStr">
        <is>
          <t>第4周</t>
        </is>
      </c>
      <c r="B8" s="8" t="n"/>
      <c r="C8" s="8" t="n"/>
      <c r="D8" s="9">
        <f>IF(OR(C8="",C7=""),"",ROUND(C8-C7,2))</f>
        <v/>
      </c>
      <c r="E8" s="9">
        <f>IF(OR(C8="",$C$4=""),"",ROUND(C8-$C$4,2))</f>
        <v/>
      </c>
      <c r="F8" s="9">
        <f>IF(OR(C8="",C7=""),"",ROUND((C7-C8)/C7*100,2))</f>
        <v/>
      </c>
      <c r="G8" s="8" t="n"/>
      <c r="H8" s="8" t="n"/>
      <c r="I8" s="8" t="n"/>
      <c r="J8" s="8" t="n"/>
      <c r="K8" s="8" t="n"/>
      <c r="L8" s="6" t="n"/>
    </row>
    <row r="9">
      <c r="A9" s="7" t="inlineStr">
        <is>
          <t>第5周</t>
        </is>
      </c>
      <c r="B9" s="8" t="n"/>
      <c r="C9" s="8" t="n"/>
      <c r="D9" s="9">
        <f>IF(OR(C9="",C8=""),"",ROUND(C9-C8,2))</f>
        <v/>
      </c>
      <c r="E9" s="9">
        <f>IF(OR(C9="",$C$4=""),"",ROUND(C9-$C$4,2))</f>
        <v/>
      </c>
      <c r="F9" s="9">
        <f>IF(OR(C9="",C8=""),"",ROUND((C8-C9)/C8*100,2))</f>
        <v/>
      </c>
      <c r="G9" s="8" t="n"/>
      <c r="H9" s="8" t="n"/>
      <c r="I9" s="8" t="n"/>
      <c r="J9" s="8" t="n"/>
      <c r="K9" s="8" t="n"/>
      <c r="L9" s="6" t="n"/>
    </row>
    <row r="10">
      <c r="A10" s="7" t="inlineStr">
        <is>
          <t>第6周</t>
        </is>
      </c>
      <c r="B10" s="8" t="n"/>
      <c r="C10" s="8" t="n"/>
      <c r="D10" s="9">
        <f>IF(OR(C10="",C9=""),"",ROUND(C10-C9,2))</f>
        <v/>
      </c>
      <c r="E10" s="9">
        <f>IF(OR(C10="",$C$4=""),"",ROUND(C10-$C$4,2))</f>
        <v/>
      </c>
      <c r="F10" s="9">
        <f>IF(OR(C10="",C9=""),"",ROUND((C9-C10)/C9*100,2))</f>
        <v/>
      </c>
      <c r="G10" s="8" t="n"/>
      <c r="H10" s="8" t="n"/>
      <c r="I10" s="8" t="n"/>
      <c r="J10" s="8" t="n"/>
      <c r="K10" s="8" t="n"/>
      <c r="L10" s="6" t="n"/>
    </row>
    <row r="11">
      <c r="A11" s="7" t="inlineStr">
        <is>
          <t>第7周</t>
        </is>
      </c>
      <c r="B11" s="8" t="n"/>
      <c r="C11" s="8" t="n"/>
      <c r="D11" s="9">
        <f>IF(OR(C11="",C10=""),"",ROUND(C11-C10,2))</f>
        <v/>
      </c>
      <c r="E11" s="9">
        <f>IF(OR(C11="",$C$4=""),"",ROUND(C11-$C$4,2))</f>
        <v/>
      </c>
      <c r="F11" s="9">
        <f>IF(OR(C11="",C10=""),"",ROUND((C10-C11)/C10*100,2))</f>
        <v/>
      </c>
      <c r="G11" s="8" t="n"/>
      <c r="H11" s="8" t="n"/>
      <c r="I11" s="8" t="n"/>
      <c r="J11" s="8" t="n"/>
      <c r="K11" s="8" t="n"/>
      <c r="L11" s="6" t="n"/>
    </row>
    <row r="12">
      <c r="A12" s="7" t="inlineStr">
        <is>
          <t>第8周</t>
        </is>
      </c>
      <c r="B12" s="8" t="n"/>
      <c r="C12" s="8" t="n"/>
      <c r="D12" s="9">
        <f>IF(OR(C12="",C11=""),"",ROUND(C12-C11,2))</f>
        <v/>
      </c>
      <c r="E12" s="9">
        <f>IF(OR(C12="",$C$4=""),"",ROUND(C12-$C$4,2))</f>
        <v/>
      </c>
      <c r="F12" s="9">
        <f>IF(OR(C12="",C11=""),"",ROUND((C11-C12)/C11*100,2))</f>
        <v/>
      </c>
      <c r="G12" s="8" t="n"/>
      <c r="H12" s="8" t="n"/>
      <c r="I12" s="8" t="n"/>
      <c r="J12" s="8" t="n"/>
      <c r="K12" s="8" t="n"/>
      <c r="L12" s="6" t="n"/>
    </row>
    <row r="13">
      <c r="A13" s="7" t="inlineStr">
        <is>
          <t>第9周</t>
        </is>
      </c>
      <c r="B13" s="8" t="n"/>
      <c r="C13" s="8" t="n"/>
      <c r="D13" s="9">
        <f>IF(OR(C13="",C12=""),"",ROUND(C13-C12,2))</f>
        <v/>
      </c>
      <c r="E13" s="9">
        <f>IF(OR(C13="",$C$4=""),"",ROUND(C13-$C$4,2))</f>
        <v/>
      </c>
      <c r="F13" s="9">
        <f>IF(OR(C13="",C12=""),"",ROUND((C12-C13)/C12*100,2))</f>
        <v/>
      </c>
      <c r="G13" s="8" t="n"/>
      <c r="H13" s="8" t="n"/>
      <c r="I13" s="8" t="n"/>
      <c r="J13" s="8" t="n"/>
      <c r="K13" s="8" t="n"/>
      <c r="L13" s="6" t="n"/>
    </row>
    <row r="14">
      <c r="A14" s="7" t="inlineStr">
        <is>
          <t>第10周</t>
        </is>
      </c>
      <c r="B14" s="8" t="n"/>
      <c r="C14" s="8" t="n"/>
      <c r="D14" s="9">
        <f>IF(OR(C14="",C13=""),"",ROUND(C14-C13,2))</f>
        <v/>
      </c>
      <c r="E14" s="9">
        <f>IF(OR(C14="",$C$4=""),"",ROUND(C14-$C$4,2))</f>
        <v/>
      </c>
      <c r="F14" s="9">
        <f>IF(OR(C14="",C13=""),"",ROUND((C13-C14)/C13*100,2))</f>
        <v/>
      </c>
      <c r="G14" s="8" t="n"/>
      <c r="H14" s="8" t="n"/>
      <c r="I14" s="8" t="n"/>
      <c r="J14" s="8" t="n"/>
      <c r="K14" s="8" t="n"/>
      <c r="L14" s="6" t="n"/>
    </row>
    <row r="15">
      <c r="A15" s="7" t="inlineStr">
        <is>
          <t>第11周</t>
        </is>
      </c>
      <c r="B15" s="8" t="n"/>
      <c r="C15" s="8" t="n"/>
      <c r="D15" s="9">
        <f>IF(OR(C15="",C14=""),"",ROUND(C15-C14,2))</f>
        <v/>
      </c>
      <c r="E15" s="9">
        <f>IF(OR(C15="",$C$4=""),"",ROUND(C15-$C$4,2))</f>
        <v/>
      </c>
      <c r="F15" s="9">
        <f>IF(OR(C15="",C14=""),"",ROUND((C14-C15)/C14*100,2))</f>
        <v/>
      </c>
      <c r="G15" s="8" t="n"/>
      <c r="H15" s="8" t="n"/>
      <c r="I15" s="8" t="n"/>
      <c r="J15" s="8" t="n"/>
      <c r="K15" s="8" t="n"/>
      <c r="L15" s="6" t="n"/>
    </row>
    <row r="16">
      <c r="A16" s="7" t="inlineStr">
        <is>
          <t>第12周</t>
        </is>
      </c>
      <c r="B16" s="8" t="n"/>
      <c r="C16" s="8" t="n"/>
      <c r="D16" s="9">
        <f>IF(OR(C16="",C15=""),"",ROUND(C16-C15,2))</f>
        <v/>
      </c>
      <c r="E16" s="9">
        <f>IF(OR(C16="",$C$4=""),"",ROUND(C16-$C$4,2))</f>
        <v/>
      </c>
      <c r="F16" s="9">
        <f>IF(OR(C16="",C15=""),"",ROUND((C15-C16)/C15*100,2))</f>
        <v/>
      </c>
      <c r="G16" s="8" t="n"/>
      <c r="H16" s="8" t="n"/>
      <c r="I16" s="8" t="n"/>
      <c r="J16" s="8" t="n"/>
      <c r="K16" s="8" t="n"/>
      <c r="L16" s="6" t="n"/>
    </row>
    <row r="17">
      <c r="A17" s="10" t="inlineStr">
        <is>
          <t>合计</t>
        </is>
      </c>
      <c r="E17" s="10">
        <f>IF(OR($C$4="",C16=""),"",ROUND(C16-$C$4,2))</f>
        <v/>
      </c>
      <c r="F17" s="10">
        <f>IF(OR($C$4="",C16=""),"",ROUND(($C$4-C16)/$C$4*100,2))</f>
        <v/>
      </c>
      <c r="G17" t="inlineStr">
        <is>
          <t>↑ 总减重(kg)</t>
        </is>
      </c>
      <c r="H17" t="inlineStr">
        <is>
          <t>↑ 总降幅(%)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2" customWidth="1" min="8" max="8"/>
    <col width="9" customWidth="1" min="9" max="9"/>
    <col width="12" customWidth="1" min="10" max="10"/>
    <col width="16" customWidth="1" min="11" max="11"/>
    <col width="11" customWidth="1" min="12" max="12"/>
    <col width="22" customWidth="1" min="13" max="13"/>
  </cols>
  <sheetData>
    <row r="1" ht="26" customHeight="1">
      <c r="A1" s="1" t="inlineStr">
        <is>
          <t>每日饮食记录（31 行，可复制扩展）</t>
        </is>
      </c>
    </row>
    <row r="2" ht="30" customHeight="1">
      <c r="A2" s="2" t="inlineStr">
        <is>
          <t>蛋白目标见「06-计算器」结果；K 列自动按你在 J 列填的蛋白克数汇总，H 列填热量。蛋白优先：每餐 30–40 g。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30" customHeight="1">
      <c r="A4" s="6" t="inlineStr">
        <is>
          <t>日期</t>
        </is>
      </c>
      <c r="B4" s="6" t="inlineStr">
        <is>
          <t>体重(kg)</t>
        </is>
      </c>
      <c r="C4" s="6" t="inlineStr">
        <is>
          <t>早餐</t>
        </is>
      </c>
      <c r="D4" s="6" t="inlineStr">
        <is>
          <t>加餐</t>
        </is>
      </c>
      <c r="E4" s="6" t="inlineStr">
        <is>
          <t>午餐</t>
        </is>
      </c>
      <c r="F4" s="6" t="inlineStr">
        <is>
          <t>加餐2</t>
        </is>
      </c>
      <c r="G4" s="6" t="inlineStr">
        <is>
          <t>晚餐</t>
        </is>
      </c>
      <c r="H4" s="6" t="inlineStr">
        <is>
          <t>总热量(kcal)</t>
        </is>
      </c>
      <c r="I4" s="6" t="inlineStr">
        <is>
          <t>蛋白(g)</t>
        </is>
      </c>
      <c r="J4" s="11">
        <f>IF(I4="","",IFERROR(IF(I4&gt;='06-计算器'!$B$14,"✅ 达标","⚠ 不足"),""))</f>
        <v/>
      </c>
      <c r="K4" s="6" t="inlineStr">
        <is>
          <t>训练</t>
        </is>
      </c>
      <c r="L4" s="6" t="inlineStr">
        <is>
          <t>饥饿感(1-5)</t>
        </is>
      </c>
      <c r="M4" s="6" t="inlineStr">
        <is>
          <t>备注</t>
        </is>
      </c>
    </row>
    <row r="5" ht="3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11">
        <f>IF(I5="","",IFERROR(IF(I5&gt;='06-计算器'!$B$14,"✅ 达标","⚠ 不足"),""))</f>
        <v/>
      </c>
      <c r="K5" s="6" t="n"/>
      <c r="L5" s="6" t="n"/>
      <c r="M5" s="6" t="n"/>
    </row>
    <row r="6" ht="3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11">
        <f>IF(I6="","",IFERROR(IF(I6&gt;='06-计算器'!$B$14,"✅ 达标","⚠ 不足"),""))</f>
        <v/>
      </c>
      <c r="K6" s="6" t="n"/>
      <c r="L6" s="6" t="n"/>
      <c r="M6" s="6" t="n"/>
    </row>
    <row r="7" ht="3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11">
        <f>IF(I7="","",IFERROR(IF(I7&gt;='06-计算器'!$B$14,"✅ 达标","⚠ 不足"),""))</f>
        <v/>
      </c>
      <c r="K7" s="6" t="n"/>
      <c r="L7" s="6" t="n"/>
      <c r="M7" s="6" t="n"/>
    </row>
    <row r="8" ht="3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11">
        <f>IF(I8="","",IFERROR(IF(I8&gt;='06-计算器'!$B$14,"✅ 达标","⚠ 不足"),""))</f>
        <v/>
      </c>
      <c r="K8" s="6" t="n"/>
      <c r="L8" s="6" t="n"/>
      <c r="M8" s="6" t="n"/>
    </row>
    <row r="9" ht="3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11">
        <f>IF(I9="","",IFERROR(IF(I9&gt;='06-计算器'!$B$14,"✅ 达标","⚠ 不足"),""))</f>
        <v/>
      </c>
      <c r="K9" s="6" t="n"/>
      <c r="L9" s="6" t="n"/>
      <c r="M9" s="6" t="n"/>
    </row>
    <row r="10" ht="3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11">
        <f>IF(I10="","",IFERROR(IF(I10&gt;='06-计算器'!$B$14,"✅ 达标","⚠ 不足"),""))</f>
        <v/>
      </c>
      <c r="K10" s="6" t="n"/>
      <c r="L10" s="6" t="n"/>
      <c r="M10" s="6" t="n"/>
    </row>
    <row r="11" ht="3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11">
        <f>IF(I11="","",IFERROR(IF(I11&gt;='06-计算器'!$B$14,"✅ 达标","⚠ 不足"),""))</f>
        <v/>
      </c>
      <c r="K11" s="6" t="n"/>
      <c r="L11" s="6" t="n"/>
      <c r="M11" s="6" t="n"/>
    </row>
    <row r="12" ht="3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11">
        <f>IF(I12="","",IFERROR(IF(I12&gt;='06-计算器'!$B$14,"✅ 达标","⚠ 不足"),""))</f>
        <v/>
      </c>
      <c r="K12" s="6" t="n"/>
      <c r="L12" s="6" t="n"/>
      <c r="M12" s="6" t="n"/>
    </row>
    <row r="13" ht="3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11">
        <f>IF(I13="","",IFERROR(IF(I13&gt;='06-计算器'!$B$14,"✅ 达标","⚠ 不足"),""))</f>
        <v/>
      </c>
      <c r="K13" s="6" t="n"/>
      <c r="L13" s="6" t="n"/>
      <c r="M13" s="6" t="n"/>
    </row>
    <row r="14" ht="3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11">
        <f>IF(I14="","",IFERROR(IF(I14&gt;='06-计算器'!$B$14,"✅ 达标","⚠ 不足"),""))</f>
        <v/>
      </c>
      <c r="K14" s="6" t="n"/>
      <c r="L14" s="6" t="n"/>
      <c r="M14" s="6" t="n"/>
    </row>
    <row r="15" ht="3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11">
        <f>IF(I15="","",IFERROR(IF(I15&gt;='06-计算器'!$B$14,"✅ 达标","⚠ 不足"),""))</f>
        <v/>
      </c>
      <c r="K15" s="6" t="n"/>
      <c r="L15" s="6" t="n"/>
      <c r="M15" s="6" t="n"/>
    </row>
    <row r="16" ht="3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11">
        <f>IF(I16="","",IFERROR(IF(I16&gt;='06-计算器'!$B$14,"✅ 达标","⚠ 不足"),""))</f>
        <v/>
      </c>
      <c r="K16" s="6" t="n"/>
      <c r="L16" s="6" t="n"/>
      <c r="M16" s="6" t="n"/>
    </row>
    <row r="17" ht="3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11">
        <f>IF(I17="","",IFERROR(IF(I17&gt;='06-计算器'!$B$14,"✅ 达标","⚠ 不足"),""))</f>
        <v/>
      </c>
      <c r="K17" s="6" t="n"/>
      <c r="L17" s="6" t="n"/>
      <c r="M17" s="6" t="n"/>
    </row>
    <row r="18" ht="3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11">
        <f>IF(I18="","",IFERROR(IF(I18&gt;='06-计算器'!$B$14,"✅ 达标","⚠ 不足"),""))</f>
        <v/>
      </c>
      <c r="K18" s="6" t="n"/>
      <c r="L18" s="6" t="n"/>
      <c r="M18" s="6" t="n"/>
    </row>
    <row r="19" ht="3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11">
        <f>IF(I19="","",IFERROR(IF(I19&gt;='06-计算器'!$B$14,"✅ 达标","⚠ 不足"),""))</f>
        <v/>
      </c>
      <c r="K19" s="6" t="n"/>
      <c r="L19" s="6" t="n"/>
      <c r="M19" s="6" t="n"/>
    </row>
    <row r="20" ht="3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11">
        <f>IF(I20="","",IFERROR(IF(I20&gt;='06-计算器'!$B$14,"✅ 达标","⚠ 不足"),""))</f>
        <v/>
      </c>
      <c r="K20" s="6" t="n"/>
      <c r="L20" s="6" t="n"/>
      <c r="M20" s="6" t="n"/>
    </row>
    <row r="21" ht="3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11">
        <f>IF(I21="","",IFERROR(IF(I21&gt;='06-计算器'!$B$14,"✅ 达标","⚠ 不足"),""))</f>
        <v/>
      </c>
      <c r="K21" s="6" t="n"/>
      <c r="L21" s="6" t="n"/>
      <c r="M21" s="6" t="n"/>
    </row>
    <row r="22" ht="3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11">
        <f>IF(I22="","",IFERROR(IF(I22&gt;='06-计算器'!$B$14,"✅ 达标","⚠ 不足"),""))</f>
        <v/>
      </c>
      <c r="K22" s="6" t="n"/>
      <c r="L22" s="6" t="n"/>
      <c r="M22" s="6" t="n"/>
    </row>
    <row r="23" ht="3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11">
        <f>IF(I23="","",IFERROR(IF(I23&gt;='06-计算器'!$B$14,"✅ 达标","⚠ 不足"),""))</f>
        <v/>
      </c>
      <c r="K23" s="6" t="n"/>
      <c r="L23" s="6" t="n"/>
      <c r="M23" s="6" t="n"/>
    </row>
    <row r="24" ht="3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11">
        <f>IF(I24="","",IFERROR(IF(I24&gt;='06-计算器'!$B$14,"✅ 达标","⚠ 不足"),""))</f>
        <v/>
      </c>
      <c r="K24" s="6" t="n"/>
      <c r="L24" s="6" t="n"/>
      <c r="M24" s="6" t="n"/>
    </row>
    <row r="25" ht="3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11">
        <f>IF(I25="","",IFERROR(IF(I25&gt;='06-计算器'!$B$14,"✅ 达标","⚠ 不足"),""))</f>
        <v/>
      </c>
      <c r="K25" s="6" t="n"/>
      <c r="L25" s="6" t="n"/>
      <c r="M25" s="6" t="n"/>
    </row>
    <row r="26" ht="3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11">
        <f>IF(I26="","",IFERROR(IF(I26&gt;='06-计算器'!$B$14,"✅ 达标","⚠ 不足"),""))</f>
        <v/>
      </c>
      <c r="K26" s="6" t="n"/>
      <c r="L26" s="6" t="n"/>
      <c r="M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11">
        <f>IF(I27="","",IFERROR(IF(I27&gt;='06-计算器'!$B$14,"✅ 达标","⚠ 不足"),""))</f>
        <v/>
      </c>
      <c r="K27" s="6" t="n"/>
      <c r="L27" s="6" t="n"/>
      <c r="M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11">
        <f>IF(I28="","",IFERROR(IF(I28&gt;='06-计算器'!$B$14,"✅ 达标","⚠ 不足"),""))</f>
        <v/>
      </c>
      <c r="K28" s="6" t="n"/>
      <c r="L28" s="6" t="n"/>
      <c r="M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11">
        <f>IF(I29="","",IFERROR(IF(I29&gt;='06-计算器'!$B$14,"✅ 达标","⚠ 不足"),""))</f>
        <v/>
      </c>
      <c r="K29" s="6" t="n"/>
      <c r="L29" s="6" t="n"/>
      <c r="M29" s="6" t="n"/>
    </row>
    <row r="30" ht="3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11">
        <f>IF(I30="","",IFERROR(IF(I30&gt;='06-计算器'!$B$14,"✅ 达标","⚠ 不足"),""))</f>
        <v/>
      </c>
      <c r="K30" s="6" t="n"/>
      <c r="L30" s="6" t="n"/>
      <c r="M30" s="6" t="n"/>
    </row>
    <row r="31" ht="3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11">
        <f>IF(I31="","",IFERROR(IF(I31&gt;='06-计算器'!$B$14,"✅ 达标","⚠ 不足"),""))</f>
        <v/>
      </c>
      <c r="K31" s="6" t="n"/>
      <c r="L31" s="6" t="n"/>
      <c r="M31" s="6" t="n"/>
    </row>
    <row r="32" ht="3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11">
        <f>IF(I32="","",IFERROR(IF(I32&gt;='06-计算器'!$B$14,"✅ 达标","⚠ 不足"),""))</f>
        <v/>
      </c>
      <c r="K32" s="6" t="n"/>
      <c r="L32" s="6" t="n"/>
      <c r="M32" s="6" t="n"/>
    </row>
    <row r="33" ht="3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11">
        <f>IF(I33="","",IFERROR(IF(I33&gt;='06-计算器'!$B$14,"✅ 达标","⚠ 不足"),""))</f>
        <v/>
      </c>
      <c r="K33" s="6" t="n"/>
      <c r="L33" s="6" t="n"/>
      <c r="M33" s="6" t="n"/>
    </row>
    <row r="34" ht="3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11">
        <f>IF(I34="","",IFERROR(IF(I34&gt;='06-计算器'!$B$14,"✅ 达标","⚠ 不足"),""))</f>
        <v/>
      </c>
      <c r="K34" s="6" t="n"/>
      <c r="L34" s="6" t="n"/>
      <c r="M34" s="6" t="n"/>
    </row>
  </sheetData>
  <mergeCells count="2">
    <mergeCell ref="A2:K2"/>
    <mergeCell ref="A1:K1"/>
  </mergeCells>
  <dataValidations count="1">
    <dataValidation sqref="K4:K34" showDropDown="0" showInputMessage="0" showErrorMessage="0" allowBlank="1" type="list">
      <formula1>"✅,❌"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1" customWidth="1" min="4" max="4"/>
    <col width="8" customWidth="1" min="5" max="5"/>
    <col width="11" customWidth="1" min="6" max="6"/>
    <col width="16" customWidth="1" min="7" max="7"/>
    <col width="15" customWidth="1" min="8" max="8"/>
    <col width="26" customWidth="1" min="9" max="9"/>
  </cols>
  <sheetData>
    <row r="1" ht="26" customHeight="1">
      <c r="A1" s="1" t="inlineStr">
        <is>
          <t>训练记录表（抗阻优先）</t>
        </is>
      </c>
    </row>
    <row r="2" ht="30" customHeight="1">
      <c r="A2" s="2" t="inlineStr">
        <is>
          <t>论文立场：抗阻训练 + 足量蛋白是减脂期保住瘦体重的必需项。记录主要动作的重量×次数，保证渐进超负荷。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8" t="inlineStr">
        <is>
          <t>日期</t>
        </is>
      </c>
      <c r="B4" s="8" t="inlineStr">
        <is>
          <t>训练类型</t>
        </is>
      </c>
      <c r="C4" s="8" t="inlineStr">
        <is>
          <t>动作</t>
        </is>
      </c>
      <c r="D4" s="8" t="inlineStr">
        <is>
          <t>重量(kg)</t>
        </is>
      </c>
      <c r="E4" s="8" t="inlineStr">
        <is>
          <t>组数</t>
        </is>
      </c>
      <c r="F4" s="8" t="inlineStr">
        <is>
          <t>次数/组</t>
        </is>
      </c>
      <c r="G4" s="8" t="inlineStr">
        <is>
          <t>主观强度(RPE 1-10)</t>
        </is>
      </c>
      <c r="H4" s="8" t="inlineStr">
        <is>
          <t>有氧时长(分钟)</t>
        </is>
      </c>
      <c r="I4" s="8" t="inlineStr">
        <is>
          <t>备注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</sheetData>
  <mergeCells count="2">
    <mergeCell ref="A1:I1"/>
    <mergeCell ref="A2:I2"/>
  </mergeCells>
  <dataValidations count="1">
    <dataValidation sqref="B4:B43" showDropDown="0" showInputMessage="0" showErrorMessage="0" allowBlank="1" type="list">
      <formula1>"下肢主导,上肢推,上肢拉,全身复合,有氧,休息,其他"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40" customWidth="1" min="4" max="4"/>
    <col width="10" customWidth="1" min="5" max="5"/>
  </cols>
  <sheetData>
    <row r="1" ht="26" customHeight="1">
      <c r="A1" s="1" t="inlineStr">
        <is>
          <t>论文关键参考值（可直接对照执行）</t>
        </is>
      </c>
    </row>
    <row r="3">
      <c r="A3" s="12" t="inlineStr">
        <is>
          <t>蛋白摄入阶梯（论文立场 6/7）</t>
        </is>
      </c>
    </row>
    <row r="4">
      <c r="A4" s="5" t="inlineStr">
        <is>
          <t>人群 / 目标</t>
        </is>
      </c>
      <c r="B4" s="5" t="inlineStr">
        <is>
          <t>每日蛋白 (g/kg 体重)</t>
        </is>
      </c>
      <c r="C4" s="5" t="inlineStr">
        <is>
          <t>每日蛋白 (g/kg 去脂体重)</t>
        </is>
      </c>
      <c r="D4" s="5" t="inlineStr">
        <is>
          <t>说明</t>
        </is>
      </c>
    </row>
    <row r="5">
      <c r="A5" s="4" t="inlineStr">
        <is>
          <t>长期沿用的 RDA</t>
        </is>
      </c>
      <c r="B5" s="4" t="inlineStr">
        <is>
          <t>0.8</t>
        </is>
      </c>
      <c r="C5" s="4" t="inlineStr">
        <is>
          <t>—</t>
        </is>
      </c>
      <c r="D5" s="4" t="inlineStr">
        <is>
          <t>满足久坐成人基本需求，但对保瘦体重很可能不足</t>
        </is>
      </c>
    </row>
    <row r="6">
      <c r="A6" s="4" t="inlineStr">
        <is>
          <t>一般人群</t>
        </is>
      </c>
      <c r="B6" s="4" t="inlineStr">
        <is>
          <t>1.2–1.6</t>
        </is>
      </c>
      <c r="C6" s="4" t="inlineStr">
        <is>
          <t>—</t>
        </is>
      </c>
      <c r="D6" s="4" t="inlineStr">
        <is>
          <t>支持运动、肌肉骨骼、心血管代谢健康；2025–2030 美国膳食指南首次写入</t>
        </is>
      </c>
    </row>
    <row r="7">
      <c r="A7" s="4" t="inlineStr">
        <is>
          <t>减脂 + 抗阻训练</t>
        </is>
      </c>
      <c r="B7" s="4" t="inlineStr">
        <is>
          <t>1.6–2.2</t>
        </is>
      </c>
      <c r="C7" s="4" t="inlineStr">
        <is>
          <t>—</t>
        </is>
      </c>
      <c r="D7" s="4" t="inlineStr">
        <is>
          <t>可优化肌肉蛋白合成、减少瘦体重流失</t>
        </is>
      </c>
    </row>
    <row r="8">
      <c r="A8" s="4" t="inlineStr">
        <is>
          <t>精瘦 + 有训练基础</t>
        </is>
      </c>
      <c r="B8" s="4" t="inlineStr">
        <is>
          <t>1.9–3.2</t>
        </is>
      </c>
      <c r="C8" s="4" t="inlineStr">
        <is>
          <t>2.5–4.2</t>
        </is>
      </c>
      <c r="D8" s="4" t="inlineStr">
        <is>
          <t>热量缺口下最大化瘦体重保留</t>
        </is>
      </c>
    </row>
    <row r="9">
      <c r="A9" s="4" t="inlineStr">
        <is>
          <t>追求同时增肌减脂（重组）</t>
        </is>
      </c>
      <c r="B9" s="4" t="inlineStr">
        <is>
          <t>—</t>
        </is>
      </c>
      <c r="C9" s="4" t="inlineStr">
        <is>
          <t>2.6–3.5</t>
        </is>
      </c>
      <c r="D9" s="4" t="inlineStr">
        <is>
          <t>提高重组概率与幅度，但重组是有限过程，越精瘦越难</t>
        </is>
      </c>
    </row>
    <row r="11">
      <c r="A11" s="12" t="inlineStr">
        <is>
          <t>减重幅度与健康收益</t>
        </is>
      </c>
    </row>
    <row r="12">
      <c r="A12" s="5" t="inlineStr">
        <is>
          <t>减重幅度</t>
        </is>
      </c>
      <c r="B12" s="5" t="inlineStr">
        <is>
          <t>可获得的收益</t>
        </is>
      </c>
      <c r="C12" s="5" t="inlineStr"/>
      <c r="D12" s="5" t="inlineStr"/>
    </row>
    <row r="13">
      <c r="A13" s="4" t="inlineStr">
        <is>
          <t>2%–5%</t>
        </is>
      </c>
      <c r="B13" s="4" t="inlineStr">
        <is>
          <t>改善血糖控制、降低甘油三酯</t>
        </is>
      </c>
      <c r="C13" s="4" t="inlineStr"/>
      <c r="D13" s="4" t="inlineStr"/>
    </row>
    <row r="14">
      <c r="A14" s="4" t="inlineStr">
        <is>
          <t>5%–10%</t>
        </is>
      </c>
      <c r="B14" s="4" t="inlineStr">
        <is>
          <t>改善血压、减轻关节疼痛、提升活动能力、增加肠道菌群多样性、减轻抑郁症状、降低心血管死亡风险</t>
        </is>
      </c>
      <c r="C14" s="4" t="inlineStr"/>
      <c r="D14" s="4" t="inlineStr"/>
    </row>
    <row r="15">
      <c r="A15" s="4" t="inlineStr">
        <is>
          <t>约 15%</t>
        </is>
      </c>
      <c r="B15" s="4" t="inlineStr">
        <is>
          <t>已有研究报告 2 型糖尿病缓解</t>
        </is>
      </c>
      <c r="C15" s="4" t="inlineStr"/>
      <c r="D15" s="4" t="inlineStr"/>
    </row>
    <row r="17">
      <c r="A17" s="12" t="inlineStr">
        <is>
          <t>平台期与恢复期规则（论文立场 13）</t>
        </is>
      </c>
    </row>
    <row r="18">
      <c r="A18" s="5" t="inlineStr">
        <is>
          <t>规则</t>
        </is>
      </c>
      <c r="B18" s="5" t="inlineStr">
        <is>
          <t>数值</t>
        </is>
      </c>
      <c r="C18" s="5" t="inlineStr"/>
      <c r="D18" s="5" t="inlineStr"/>
    </row>
    <row r="19">
      <c r="A19" s="4" t="inlineStr">
        <is>
          <t>平台期定义</t>
        </is>
      </c>
      <c r="B19" s="4" t="inlineStr">
        <is>
          <t>12 周内体重下降不足 5%</t>
        </is>
      </c>
      <c r="C19" s="4" t="inlineStr"/>
      <c r="D19" s="4" t="inlineStr"/>
    </row>
    <row r="20">
      <c r="A20" s="4" t="inlineStr">
        <is>
          <t>典型出现时间</t>
        </is>
      </c>
      <c r="B20" s="4" t="inlineStr">
        <is>
          <t>饮食法开始后 8–12 周</t>
        </is>
      </c>
      <c r="C20" s="4" t="inlineStr"/>
      <c r="D20" s="4" t="inlineStr"/>
    </row>
    <row r="21">
      <c r="A21" s="4" t="inlineStr">
        <is>
          <t>饮食休息 diet break</t>
        </is>
      </c>
      <c r="B21" s="4" t="inlineStr">
        <is>
          <t>每减 3–5 kg，安排约 7 天的有意识自由进食</t>
        </is>
      </c>
      <c r="C21" s="4" t="inlineStr"/>
      <c r="D21" s="4" t="inlineStr"/>
    </row>
    <row r="22">
      <c r="A22" s="4" t="inlineStr">
        <is>
          <t>维持期 maintenance</t>
        </is>
      </c>
      <c r="B22" s="4" t="inlineStr">
        <is>
          <t>每减 5–10 kg，安排约 1–3 个月或更长的体重稳定期</t>
        </is>
      </c>
      <c r="C22" s="4" t="inlineStr"/>
      <c r="D22" s="4" t="inlineStr"/>
    </row>
    <row r="24">
      <c r="A24" s="12" t="inlineStr">
        <is>
          <t>各饮食法一句话结论</t>
        </is>
      </c>
    </row>
    <row r="25">
      <c r="A25" s="5" t="inlineStr">
        <is>
          <t>方案</t>
        </is>
      </c>
      <c r="B25" s="5" t="inlineStr">
        <is>
          <t>结论要点</t>
        </is>
      </c>
      <c r="C25" s="5" t="inlineStr"/>
      <c r="D25" s="5" t="inlineStr"/>
    </row>
    <row r="26">
      <c r="A26" s="4" t="inlineStr">
        <is>
          <t>VLED (&lt;800 kcal)</t>
        </is>
      </c>
      <c r="B26" s="4" t="inlineStr">
        <is>
          <t>短期最快（10–15% 体重），长期无优势，瘦体重与骨量流失风险高，需医疗监督</t>
        </is>
      </c>
      <c r="C26" s="4" t="inlineStr"/>
      <c r="D26" s="4" t="inlineStr"/>
    </row>
    <row r="27">
      <c r="A27" s="4" t="inlineStr">
        <is>
          <t>LED (800–1200 kcal)</t>
        </is>
      </c>
      <c r="B27" s="4" t="inlineStr">
        <is>
          <t>减重幅度大但烈度低，长期结局与温和方案类似</t>
        </is>
      </c>
      <c r="C27" s="4" t="inlineStr"/>
      <c r="D27" s="4" t="inlineStr"/>
    </row>
    <row r="28">
      <c r="A28" s="4" t="inlineStr">
        <is>
          <t>间歇禁食 (ADF/5:2/TRE)</t>
        </is>
      </c>
      <c r="B28" s="4" t="inlineStr">
        <is>
          <t>能量匹配时与每日限能量无临床意义差别（6 个月仅多减 0.94 kg）</t>
        </is>
      </c>
      <c r="C28" s="4" t="inlineStr"/>
      <c r="D28" s="4" t="inlineStr"/>
    </row>
    <row r="29">
      <c r="A29" s="4" t="inlineStr">
        <is>
          <t>生酮</t>
        </is>
      </c>
      <c r="B29" s="4" t="inlineStr">
        <is>
          <t>短期有效，但瘦体重掉得更多、LDL 常升高；蛋白与热量匹配后无内在优势</t>
        </is>
      </c>
      <c r="C29" s="4" t="inlineStr"/>
      <c r="D29" s="4" t="inlineStr"/>
    </row>
    <row r="30">
      <c r="A30" s="4" t="inlineStr">
        <is>
          <t>低碳 / 低脂 / 极低脂</t>
        </is>
      </c>
      <c r="B30" s="4" t="inlineStr">
        <is>
          <t>长期效果相近，选能坚持的；低碳 12–24 个月后优势消失</t>
        </is>
      </c>
      <c r="C30" s="4" t="inlineStr"/>
      <c r="D30" s="4" t="inlineStr"/>
    </row>
    <row r="31">
      <c r="A31" s="4" t="inlineStr">
        <is>
          <t>高蛋白</t>
        </is>
      </c>
      <c r="B31" s="4" t="inlineStr">
        <is>
          <t>提高饱腹感与食物热效应，减脂同时保肌，健康人群在宽范围内安全</t>
        </is>
      </c>
      <c r="C31" s="4" t="inlineStr"/>
      <c r="D31" s="4" t="inlineStr"/>
    </row>
  </sheetData>
  <mergeCells count="5">
    <mergeCell ref="A24:E24"/>
    <mergeCell ref="A11:E11"/>
    <mergeCell ref="A1:E1"/>
    <mergeCell ref="A17:E1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6" customHeight="1">
      <c r="A1" s="1" t="inlineStr">
        <is>
          <t>热量与蛋白计算器</t>
        </is>
      </c>
    </row>
    <row r="2" ht="30" customHeight="1">
      <c r="A2" s="2" t="inlineStr">
        <is>
          <t>黄色格填自己数据；Mifflin-St Jeor 公式估算 BMR，蛋白区间取自论文立场 6/7。结果为起点估算，需按 2–4 周实际变化校准。</t>
        </is>
      </c>
    </row>
    <row r="4">
      <c r="A4" s="10" t="inlineStr">
        <is>
          <t>性别（男/女）</t>
        </is>
      </c>
      <c r="B4" s="13" t="inlineStr">
        <is>
          <t>男</t>
        </is>
      </c>
    </row>
    <row r="5">
      <c r="A5" s="10" t="inlineStr">
        <is>
          <t>体重 (kg)</t>
        </is>
      </c>
      <c r="B5" s="13" t="n">
        <v>75</v>
      </c>
    </row>
    <row r="6">
      <c r="A6" s="10" t="inlineStr">
        <is>
          <t>身高 (cm)</t>
        </is>
      </c>
      <c r="B6" s="13" t="n">
        <v>175</v>
      </c>
    </row>
    <row r="7">
      <c r="A7" s="10" t="inlineStr">
        <is>
          <t>年龄</t>
        </is>
      </c>
      <c r="B7" s="13" t="n">
        <v>30</v>
      </c>
    </row>
    <row r="8">
      <c r="A8" s="10" t="inlineStr">
        <is>
          <t>活动水平</t>
        </is>
      </c>
      <c r="B8" s="13" t="inlineStr">
        <is>
          <t>轻度(1.375)</t>
        </is>
      </c>
    </row>
    <row r="9">
      <c r="A9" s="10" t="inlineStr">
        <is>
          <t>路径</t>
        </is>
      </c>
      <c r="B9" s="13" t="inlineStr">
        <is>
          <t>A 稳妥型(−20%)</t>
        </is>
      </c>
    </row>
    <row r="11">
      <c r="A11" s="10" t="inlineStr">
        <is>
          <t>—— 计算结果 ——</t>
        </is>
      </c>
      <c r="B11" s="14" t="n"/>
    </row>
    <row r="12">
      <c r="A12" s="10" t="inlineStr">
        <is>
          <t>基础代谢 BMR (kcal)</t>
        </is>
      </c>
      <c r="B12" s="14">
        <f>IF(B4="男",10*B5+6.25*B6-5*B7+5,10*B5+6.25*B6-5*B7-161)</f>
        <v/>
      </c>
    </row>
    <row r="13">
      <c r="A13" s="10" t="inlineStr">
        <is>
          <t>维持热量 TDEE (kcal)</t>
        </is>
      </c>
      <c r="B13" s="14">
        <f>ROUND(B12*IF(LEFT(B8,2)="久坐",1.2,IF(LEFT(B8,2)="轻度",1.375,IF(LEFT(B8,2)="中度",1.55,1.725))),0)</f>
        <v/>
      </c>
    </row>
    <row r="14">
      <c r="A14" s="10" t="inlineStr">
        <is>
          <t>每日蛋白目标 (g)</t>
        </is>
      </c>
      <c r="B14" s="14">
        <f>IF(LEFT(B9,1)="A",ROUND(B5*1.6,0),ROUND(B5*2.2,0))</f>
        <v/>
      </c>
    </row>
    <row r="15">
      <c r="A15" s="10" t="inlineStr">
        <is>
          <t>每日目标热量 (kcal)</t>
        </is>
      </c>
      <c r="B15" s="14">
        <f>ROUND(MAX(B13*IF(LEFT(B9,1)="A",0.8,0.85),B12*1.1),0)</f>
        <v/>
      </c>
    </row>
    <row r="16">
      <c r="A16" s="10" t="inlineStr">
        <is>
          <t>预计减重速度 (kg/周)</t>
        </is>
      </c>
      <c r="B16" s="14">
        <f>ROUND((B13-B15)*7/7700,2)</f>
        <v/>
      </c>
    </row>
    <row r="17">
      <c r="A17" s="10" t="inlineStr">
        <is>
          <t>蛋白下限参考 (g)</t>
        </is>
      </c>
      <c r="B17" s="14">
        <f>ROUND(B5*1.2,0)</f>
        <v/>
      </c>
    </row>
    <row r="18">
      <c r="A18" s="10" t="inlineStr">
        <is>
          <t>蛋白上限参考 (g)</t>
        </is>
      </c>
      <c r="B18" s="14">
        <f>ROUND(B5*3.2,0)</f>
        <v/>
      </c>
    </row>
    <row r="20">
      <c r="A20" s="15" t="inlineStr">
        <is>
          <t>提示：若把路径改成 B 运动型，蛋白目标自动提到 2.2 g/kg、缺口收窄到 15%。</t>
        </is>
      </c>
    </row>
  </sheetData>
  <mergeCells count="3">
    <mergeCell ref="A1:C1"/>
    <mergeCell ref="A20:C20"/>
    <mergeCell ref="A2:C2"/>
  </mergeCells>
  <dataValidations count="3">
    <dataValidation sqref="B4" showDropDown="0" showInputMessage="0" showErrorMessage="0" allowBlank="0" type="list">
      <formula1>"男,女"</formula1>
    </dataValidation>
    <dataValidation sqref="B8" showDropDown="0" showInputMessage="0" showErrorMessage="0" allowBlank="0" type="list">
      <formula1>"久坐(1.2),轻度(1.375),中度(1.55),高度(1.725)"</formula1>
    </dataValidation>
    <dataValidation sqref="B9" showDropDown="0" showInputMessage="0" showErrorMessage="0" allowBlank="0" type="list">
      <formula1>"A 稳妥型(−20%),B 运动型(−15%)"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2026-10-20T17:31:57Z</dcterms:created>
  <dcterms:modified xsi:type="dcterms:W3CDTF">2026-10-20T17:31:57Z</dcterms:modified>
</cp:coreProperties>
</file>